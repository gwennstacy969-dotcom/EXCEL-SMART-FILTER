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AppData\Local\Temp\"/>
    </mc:Choice>
  </mc:AlternateContent>
  <xr:revisionPtr revIDLastSave="0" documentId="8_{952D6595-5EB5-4F1C-AB26-A45078309319}" xr6:coauthVersionLast="47" xr6:coauthVersionMax="47" xr10:uidLastSave="{00000000-0000-0000-0000-000000000000}"/>
  <bookViews>
    <workbookView xWindow="-108" yWindow="-108" windowWidth="23256" windowHeight="12456" xr2:uid="{05DB0906-0449-4AE3-AD4A-AC257552BDCF}"/>
  </bookViews>
  <sheets>
    <sheet name="Transaksi_Bulanan" sheetId="1" r:id="rId1"/>
    <sheet name="Master_Armada" sheetId="2" r:id="rId2"/>
  </sheets>
  <definedNames>
    <definedName name="_xlnm._FilterDatabase" localSheetId="0" hidden="1">Transaksi_Bulanan!$A$2:$L$43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<sst xmlns="http://schemas.openxmlformats.org/spreadsheetml/2006/main" count="350" uniqueCount="146">
  <si>
    <t>LAPORAN TRANSAKSI BULANAN - OPERASIONAL &amp; SEWA KENDARAAN (OKTOBER 2026)</t>
  </si>
  <si>
    <t>No Transaksi</t>
  </si>
  <si>
    <t>Tanggal Transaksi</t>
  </si>
  <si>
    <t>Customer / Klien</t>
  </si>
  <si>
    <t>Kategori Layanan</t>
  </si>
  <si>
    <t>Jenis Unit</t>
  </si>
  <si>
    <t>Driver / PIC</t>
  </si>
  <si>
    <t>Wilayah Operasional</t>
  </si>
  <si>
    <t>Jumlah Unit</t>
  </si>
  <si>
    <t>Tarif Satuan (Rp)</t>
  </si>
  <si>
    <t>Total Biaya (Rp)</t>
  </si>
  <si>
    <t>Status Pembayaran</t>
  </si>
  <si>
    <t>Catatan</t>
  </si>
  <si>
    <t>TRX-202610-001</t>
  </si>
  <si>
    <t>PT Maju Bersama</t>
  </si>
  <si>
    <t>Sewa Kendaraan</t>
  </si>
  <si>
    <t>Avanza Veloz</t>
  </si>
  <si>
    <t>Budi Santoso</t>
  </si>
  <si>
    <t>Jakarta Barat</t>
  </si>
  <si>
    <t>Lunas</t>
  </si>
  <si>
    <t>VIP Customer</t>
  </si>
  <si>
    <t>TRX-202610-002</t>
  </si>
  <si>
    <t>CV Sumber Makmur</t>
  </si>
  <si>
    <t>Logistik</t>
  </si>
  <si>
    <t>Pickup Gran Max</t>
  </si>
  <si>
    <t>Ahmad Fauzi</t>
  </si>
  <si>
    <t>Bekasi</t>
  </si>
  <si>
    <t>Pengiriman bahan baku</t>
  </si>
  <si>
    <t>TRX-202610-003</t>
  </si>
  <si>
    <t>PT Indo Jaya Abadi</t>
  </si>
  <si>
    <t>Innova Zenix</t>
  </si>
  <si>
    <t>Dedi Setiawan</t>
  </si>
  <si>
    <t>Jakarta Selatan</t>
  </si>
  <si>
    <t>Pending</t>
  </si>
  <si>
    <t>Urgent meeting direksi</t>
  </si>
  <si>
    <t>TRX-202610-004</t>
  </si>
  <si>
    <t>Toko Berkah Mandiri</t>
  </si>
  <si>
    <t>Pengadaan Sparepart</t>
  </si>
  <si>
    <t>Forklift 5T</t>
  </si>
  <si>
    <t>Tangerang</t>
  </si>
  <si>
    <t>Sparepart genset gudang</t>
  </si>
  <si>
    <t>TRX-202610-005</t>
  </si>
  <si>
    <t>PT Global Logistik</t>
  </si>
  <si>
    <t>Truk Tronton</t>
  </si>
  <si>
    <t>Hendra Gunawan</t>
  </si>
  <si>
    <t>Surabaya</t>
  </si>
  <si>
    <t>Cicilan</t>
  </si>
  <si>
    <t>Rute lintas Pantura</t>
  </si>
  <si>
    <t>TRX-202610-006</t>
  </si>
  <si>
    <t>PT Graha Konstruksi</t>
  </si>
  <si>
    <t>Bandung</t>
  </si>
  <si>
    <t>Proyek jembatan tol</t>
  </si>
  <si>
    <t>TRX-202610-007</t>
  </si>
  <si>
    <t>CV Karya Mandiri</t>
  </si>
  <si>
    <t>Perawatan Berkala</t>
  </si>
  <si>
    <t>Jakarta Timur</t>
  </si>
  <si>
    <t>Service rutin 20.000 km</t>
  </si>
  <si>
    <t>TRX-202610-008</t>
  </si>
  <si>
    <t>PT Mitra Niaga</t>
  </si>
  <si>
    <t>Jakarta Pusat</t>
  </si>
  <si>
    <t>Tamu luar kota</t>
  </si>
  <si>
    <t>TRX-202610-009</t>
  </si>
  <si>
    <t>Bogor</t>
  </si>
  <si>
    <t>Kirim dokumen legal</t>
  </si>
  <si>
    <t>TRX-202610-010</t>
  </si>
  <si>
    <t>Toko Sinar Terang</t>
  </si>
  <si>
    <t>Konsultasi</t>
  </si>
  <si>
    <t>Audit operasional rute</t>
  </si>
  <si>
    <t>TRX-202610-011</t>
  </si>
  <si>
    <t>Bongkar muat kontainer</t>
  </si>
  <si>
    <t>TRX-202610-012</t>
  </si>
  <si>
    <t>PT Bintang Timur</t>
  </si>
  <si>
    <t>Kargo tekstil ekspor</t>
  </si>
  <si>
    <t>TRX-202610-013</t>
  </si>
  <si>
    <t>Ganti oli transmisi</t>
  </si>
  <si>
    <t>TRX-202610-014</t>
  </si>
  <si>
    <t>Kunjungan kerja Pemda</t>
  </si>
  <si>
    <t>TRX-202610-015</t>
  </si>
  <si>
    <t>Semarang</t>
  </si>
  <si>
    <t>Rute Jawa Tengah</t>
  </si>
  <si>
    <t>TRX-202610-016</t>
  </si>
  <si>
    <t>Transport staf lembur</t>
  </si>
  <si>
    <t>TRX-202610-017</t>
  </si>
  <si>
    <t>Jakarta Utara</t>
  </si>
  <si>
    <t>Beli ban serep 4 unit</t>
  </si>
  <si>
    <t>TRX-202610-018</t>
  </si>
  <si>
    <t>Batal</t>
  </si>
  <si>
    <t>Dibatalkan pihak klien</t>
  </si>
  <si>
    <t>TRX-202610-019</t>
  </si>
  <si>
    <t>Ekspedisi mesin pabrik</t>
  </si>
  <si>
    <t>TRX-202610-020</t>
  </si>
  <si>
    <t>Konsultasi SOP fleet</t>
  </si>
  <si>
    <t>TRX-202610-021</t>
  </si>
  <si>
    <t>Acara keluarga owner</t>
  </si>
  <si>
    <t>TRX-202610-022</t>
  </si>
  <si>
    <t>Tune up hidrolik pump</t>
  </si>
  <si>
    <t>TRX-202610-023</t>
  </si>
  <si>
    <t>Distribusi sayur segar</t>
  </si>
  <si>
    <t>TRX-202610-024</t>
  </si>
  <si>
    <t>Operasional harian tim sales</t>
  </si>
  <si>
    <t>TRX-202610-025</t>
  </si>
  <si>
    <t>Solo</t>
  </si>
  <si>
    <t>Pengiriman mebel ekspor</t>
  </si>
  <si>
    <t>TRX-202610-026</t>
  </si>
  <si>
    <t>Meeting direksi holding</t>
  </si>
  <si>
    <t>TRX-202610-027</t>
  </si>
  <si>
    <t>Loading baja ringan pabrik</t>
  </si>
  <si>
    <t>TRX-202610-028</t>
  </si>
  <si>
    <t>Kirim semen mortar</t>
  </si>
  <si>
    <t>TRX-202610-029</t>
  </si>
  <si>
    <t>Review efisiensi BBM armada</t>
  </si>
  <si>
    <t>TRX-202610-030</t>
  </si>
  <si>
    <t>Perjalanan dinas VIP cabang</t>
  </si>
  <si>
    <t>TRX-202610-031</t>
  </si>
  <si>
    <t>Kargo akhir bulan</t>
  </si>
  <si>
    <t>TRX-202610-032</t>
  </si>
  <si>
    <t>Ganti kampas rem</t>
  </si>
  <si>
    <t>TRX-202610-033</t>
  </si>
  <si>
    <t>Distribusi sembako pasar</t>
  </si>
  <si>
    <t>TRX-202610-034</t>
  </si>
  <si>
    <t>Bongkar peti kemas pelabuhan</t>
  </si>
  <si>
    <t>TRX-202610-035</t>
  </si>
  <si>
    <t>Ekspedisi cepat elektronika</t>
  </si>
  <si>
    <t>TRX-202610-036</t>
  </si>
  <si>
    <t>Acara pernikahan direktur</t>
  </si>
  <si>
    <t>TRX-202610-037</t>
  </si>
  <si>
    <t>Emergency parts genset</t>
  </si>
  <si>
    <t>TRX-202610-038</t>
  </si>
  <si>
    <t>Weekend rental instansi</t>
  </si>
  <si>
    <t>TRX-202610-039</t>
  </si>
  <si>
    <t>Penutupan buku ekspedisi</t>
  </si>
  <si>
    <t>TRX-202611-040</t>
  </si>
  <si>
    <t>Awal bulan dinas luar</t>
  </si>
  <si>
    <t>TRX-202611-041</t>
  </si>
  <si>
    <t>Kargo batch November</t>
  </si>
  <si>
    <t>ID Unit</t>
  </si>
  <si>
    <t>Model Kendaraan</t>
  </si>
  <si>
    <t>Kapasitas (Ton)</t>
  </si>
  <si>
    <t>Status Unit</t>
  </si>
  <si>
    <t>UNT-01</t>
  </si>
  <si>
    <t>Aktif</t>
  </si>
  <si>
    <t>UNT-02</t>
  </si>
  <si>
    <t>UNT-03</t>
  </si>
  <si>
    <t>UNT-04</t>
  </si>
  <si>
    <t>Perawatan</t>
  </si>
  <si>
    <t>UNT-05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</si>
</sst>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#.##0"/>
    <numFmt numFmtId="166" formatCode="&quot;Rp&quot;\ #.##0"/>
  </numFmts>
  <fonts count="3" x14ac:knownFonts="1">
    <font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2E5C"/>
        <bgColor indexed="64"/>
      </patternFill>
    </fill>
    <fill>
      <patternFill patternType="solid">
        <fgColor rgb="FF143A8A"/>
        <bgColor indexed="64"/>
      </patternFill>
    </fill>
    <fill>
      <patternFill patternType="solid">
        <fgColor rgb="FFFAF9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E356-77A4-4F17-B57F-698D22214982}">
  <sheetPr filterMode="1"/>
  <dimension ref="A1:L43"/>
  <sheetViews>
    <sheetView tabSelected="1" workbookViewId="0">
      <selection sqref="A1:L1"/>
    </sheetView>
  </sheetViews>
  <sheetFormatPr defaultRowHeight="14.4" x14ac:dyDescent="0.3"/>
  <cols>
    <col min="1" max="1" width="17.44140625" customWidth="1"/>
    <col min="2" max="2" width="18.5546875" customWidth="1"/>
    <col min="3" max="3" width="20.33203125" customWidth="1"/>
    <col min="4" max="4" width="21.44140625" customWidth="1"/>
    <col min="5" max="5" width="17.44140625" customWidth="1"/>
    <col min="6" max="6" width="18.109375" customWidth="1"/>
    <col min="7" max="7" width="21.33203125" customWidth="1"/>
    <col min="8" max="8" width="13.77734375" customWidth="1"/>
    <col min="9" max="9" width="17.77734375" customWidth="1"/>
    <col min="10" max="10" width="17" customWidth="1"/>
    <col min="11" max="11" width="20.33203125" customWidth="1"/>
    <col min="12" max="12" width="28.77734375" customWidth="1"/>
  </cols>
  <sheetData>
    <row r="1" spans="1:12" ht="28.0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2.0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4">
        <v>46296.354166666664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6">
        <v>2</v>
      </c>
      <c r="I3" s="7">
        <v>450000</v>
      </c>
      <c r="J3" s="7">
        <f t="shared" ref="J3:J43" si="0">H3*I3</f>
        <v>900000</v>
      </c>
      <c r="K3" s="3" t="s">
        <v>19</v>
      </c>
      <c r="L3" s="5" t="s">
        <v>20</v>
      </c>
    </row>
    <row r="4" spans="1:12" hidden="1" x14ac:dyDescent="0.3">
      <c r="A4" s="8" t="s">
        <v>21</v>
      </c>
      <c r="B4" s="9">
        <v>46296.59375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1">
        <v>1</v>
      </c>
      <c r="I4" s="12">
        <v>350000</v>
      </c>
      <c r="J4" s="12">
        <f t="shared" si="0"/>
        <v>350000</v>
      </c>
      <c r="K4" s="8" t="s">
        <v>19</v>
      </c>
      <c r="L4" s="10" t="s">
        <v>27</v>
      </c>
    </row>
    <row r="5" spans="1:12" hidden="1" x14ac:dyDescent="0.3">
      <c r="A5" s="3" t="s">
        <v>28</v>
      </c>
      <c r="B5" s="4">
        <v>46297.375</v>
      </c>
      <c r="C5" s="5" t="s">
        <v>29</v>
      </c>
      <c r="D5" s="5" t="s">
        <v>15</v>
      </c>
      <c r="E5" s="5" t="s">
        <v>30</v>
      </c>
      <c r="F5" s="5" t="s">
        <v>31</v>
      </c>
      <c r="G5" s="5" t="s">
        <v>32</v>
      </c>
      <c r="H5" s="6">
        <v>1</v>
      </c>
      <c r="I5" s="7">
        <v>750000</v>
      </c>
      <c r="J5" s="7">
        <f t="shared" si="0"/>
        <v>750000</v>
      </c>
      <c r="K5" s="3" t="s">
        <v>33</v>
      </c>
      <c r="L5" s="5" t="s">
        <v>34</v>
      </c>
    </row>
    <row r="6" spans="1:12" hidden="1" x14ac:dyDescent="0.3">
      <c r="A6" s="8" t="s">
        <v>35</v>
      </c>
      <c r="B6" s="9">
        <v>46297.697916666664</v>
      </c>
      <c r="C6" s="10" t="s">
        <v>36</v>
      </c>
      <c r="D6" s="10" t="s">
        <v>37</v>
      </c>
      <c r="E6" s="10" t="s">
        <v>38</v>
      </c>
      <c r="F6" s="10"/>
      <c r="G6" s="10" t="s">
        <v>39</v>
      </c>
      <c r="H6" s="11">
        <v>1</v>
      </c>
      <c r="I6" s="12">
        <v>1200000</v>
      </c>
      <c r="J6" s="12">
        <f t="shared" si="0"/>
        <v>1200000</v>
      </c>
      <c r="K6" s="8" t="s">
        <v>19</v>
      </c>
      <c r="L6" s="10" t="s">
        <v>40</v>
      </c>
    </row>
    <row r="7" spans="1:12" hidden="1" x14ac:dyDescent="0.3">
      <c r="A7" s="3" t="s">
        <v>41</v>
      </c>
      <c r="B7" s="4">
        <v>46298.472222222219</v>
      </c>
      <c r="C7" s="5" t="s">
        <v>42</v>
      </c>
      <c r="D7" s="5" t="s">
        <v>23</v>
      </c>
      <c r="E7" s="5" t="s">
        <v>43</v>
      </c>
      <c r="F7" s="5" t="s">
        <v>44</v>
      </c>
      <c r="G7" s="5" t="s">
        <v>45</v>
      </c>
      <c r="H7" s="6">
        <v>3</v>
      </c>
      <c r="I7" s="7">
        <v>2500000</v>
      </c>
      <c r="J7" s="7">
        <f t="shared" si="0"/>
        <v>7500000</v>
      </c>
      <c r="K7" s="3" t="s">
        <v>46</v>
      </c>
      <c r="L7" s="5" t="s">
        <v>47</v>
      </c>
    </row>
    <row r="8" spans="1:12" x14ac:dyDescent="0.3">
      <c r="A8" s="8" t="s">
        <v>48</v>
      </c>
      <c r="B8" s="9">
        <v>46299.423611111109</v>
      </c>
      <c r="C8" s="10" t="s">
        <v>49</v>
      </c>
      <c r="D8" s="10" t="s">
        <v>15</v>
      </c>
      <c r="E8" s="10" t="s">
        <v>43</v>
      </c>
      <c r="F8" s="10" t="s">
        <v>17</v>
      </c>
      <c r="G8" s="10" t="s">
        <v>50</v>
      </c>
      <c r="H8" s="11">
        <v>2</v>
      </c>
      <c r="I8" s="12">
        <v>2500000</v>
      </c>
      <c r="J8" s="12">
        <f t="shared" si="0"/>
        <v>5000000</v>
      </c>
      <c r="K8" s="8" t="s">
        <v>19</v>
      </c>
      <c r="L8" s="10" t="s">
        <v>51</v>
      </c>
    </row>
    <row r="9" spans="1:12" hidden="1" x14ac:dyDescent="0.3">
      <c r="A9" s="3" t="s">
        <v>52</v>
      </c>
      <c r="B9" s="4">
        <v>46300.333333333336</v>
      </c>
      <c r="C9" s="5" t="s">
        <v>53</v>
      </c>
      <c r="D9" s="5" t="s">
        <v>54</v>
      </c>
      <c r="E9" s="5" t="s">
        <v>16</v>
      </c>
      <c r="F9" s="5"/>
      <c r="G9" s="5" t="s">
        <v>55</v>
      </c>
      <c r="H9" s="6">
        <v>1</v>
      </c>
      <c r="I9" s="7">
        <v>500000</v>
      </c>
      <c r="J9" s="7">
        <f t="shared" si="0"/>
        <v>500000</v>
      </c>
      <c r="K9" s="3" t="s">
        <v>19</v>
      </c>
      <c r="L9" s="5" t="s">
        <v>56</v>
      </c>
    </row>
    <row r="10" spans="1:12" hidden="1" x14ac:dyDescent="0.3">
      <c r="A10" s="8" t="s">
        <v>57</v>
      </c>
      <c r="B10" s="9">
        <v>46300.5625</v>
      </c>
      <c r="C10" s="10" t="s">
        <v>58</v>
      </c>
      <c r="D10" s="10" t="s">
        <v>15</v>
      </c>
      <c r="E10" s="10" t="s">
        <v>30</v>
      </c>
      <c r="F10" s="10" t="s">
        <v>25</v>
      </c>
      <c r="G10" s="10" t="s">
        <v>59</v>
      </c>
      <c r="H10" s="11">
        <v>2</v>
      </c>
      <c r="I10" s="12">
        <v>750000</v>
      </c>
      <c r="J10" s="12">
        <f t="shared" si="0"/>
        <v>1500000</v>
      </c>
      <c r="K10" s="8" t="s">
        <v>33</v>
      </c>
      <c r="L10" s="10" t="s">
        <v>60</v>
      </c>
    </row>
    <row r="11" spans="1:12" hidden="1" x14ac:dyDescent="0.3">
      <c r="A11" s="3" t="s">
        <v>61</v>
      </c>
      <c r="B11" s="4">
        <v>46301.40625</v>
      </c>
      <c r="C11" s="5" t="s">
        <v>14</v>
      </c>
      <c r="D11" s="5" t="s">
        <v>23</v>
      </c>
      <c r="E11" s="5" t="s">
        <v>24</v>
      </c>
      <c r="F11" s="5" t="s">
        <v>31</v>
      </c>
      <c r="G11" s="5" t="s">
        <v>62</v>
      </c>
      <c r="H11" s="6">
        <v>1</v>
      </c>
      <c r="I11" s="7">
        <v>350000</v>
      </c>
      <c r="J11" s="7">
        <f t="shared" si="0"/>
        <v>350000</v>
      </c>
      <c r="K11" s="3" t="s">
        <v>19</v>
      </c>
      <c r="L11" s="5" t="s">
        <v>63</v>
      </c>
    </row>
    <row r="12" spans="1:12" hidden="1" x14ac:dyDescent="0.3">
      <c r="A12" s="8" t="s">
        <v>64</v>
      </c>
      <c r="B12" s="9">
        <v>46302.638888888891</v>
      </c>
      <c r="C12" s="10" t="s">
        <v>65</v>
      </c>
      <c r="D12" s="10" t="s">
        <v>66</v>
      </c>
      <c r="E12" s="10" t="s">
        <v>16</v>
      </c>
      <c r="F12" s="10" t="s">
        <v>44</v>
      </c>
      <c r="G12" s="10" t="s">
        <v>39</v>
      </c>
      <c r="H12" s="11">
        <v>1</v>
      </c>
      <c r="I12" s="12">
        <v>600000</v>
      </c>
      <c r="J12" s="12">
        <f t="shared" si="0"/>
        <v>600000</v>
      </c>
      <c r="K12" s="8" t="s">
        <v>19</v>
      </c>
      <c r="L12" s="10" t="s">
        <v>67</v>
      </c>
    </row>
    <row r="13" spans="1:12" hidden="1" x14ac:dyDescent="0.3">
      <c r="A13" s="3" t="s">
        <v>68</v>
      </c>
      <c r="B13" s="4">
        <v>46303.34375</v>
      </c>
      <c r="C13" s="5" t="s">
        <v>29</v>
      </c>
      <c r="D13" s="5" t="s">
        <v>15</v>
      </c>
      <c r="E13" s="5" t="s">
        <v>38</v>
      </c>
      <c r="F13" s="5"/>
      <c r="G13" s="5" t="s">
        <v>26</v>
      </c>
      <c r="H13" s="6">
        <v>2</v>
      </c>
      <c r="I13" s="7">
        <v>1200000</v>
      </c>
      <c r="J13" s="7">
        <f t="shared" si="0"/>
        <v>2400000</v>
      </c>
      <c r="K13" s="3"/>
      <c r="L13" s="5" t="s">
        <v>69</v>
      </c>
    </row>
    <row r="14" spans="1:12" hidden="1" x14ac:dyDescent="0.3">
      <c r="A14" s="8" t="s">
        <v>70</v>
      </c>
      <c r="B14" s="9">
        <v>46304.458333333336</v>
      </c>
      <c r="C14" s="10" t="s">
        <v>71</v>
      </c>
      <c r="D14" s="10" t="s">
        <v>23</v>
      </c>
      <c r="E14" s="10" t="s">
        <v>43</v>
      </c>
      <c r="F14" s="10" t="s">
        <v>17</v>
      </c>
      <c r="G14" s="10" t="s">
        <v>45</v>
      </c>
      <c r="H14" s="11">
        <v>1</v>
      </c>
      <c r="I14" s="12">
        <v>2500000</v>
      </c>
      <c r="J14" s="12">
        <f t="shared" si="0"/>
        <v>2500000</v>
      </c>
      <c r="K14" s="8" t="s">
        <v>19</v>
      </c>
      <c r="L14" s="10" t="s">
        <v>72</v>
      </c>
    </row>
    <row r="15" spans="1:12" hidden="1" x14ac:dyDescent="0.3">
      <c r="A15" s="3" t="s">
        <v>73</v>
      </c>
      <c r="B15" s="4">
        <v>46305.611111111109</v>
      </c>
      <c r="C15" s="5" t="s">
        <v>22</v>
      </c>
      <c r="D15" s="5" t="s">
        <v>54</v>
      </c>
      <c r="E15" s="5" t="s">
        <v>24</v>
      </c>
      <c r="F15" s="5" t="s">
        <v>25</v>
      </c>
      <c r="G15" s="5" t="s">
        <v>18</v>
      </c>
      <c r="H15" s="6">
        <v>1</v>
      </c>
      <c r="I15" s="7">
        <v>400000</v>
      </c>
      <c r="J15" s="7">
        <f t="shared" si="0"/>
        <v>400000</v>
      </c>
      <c r="K15" s="3" t="s">
        <v>19</v>
      </c>
      <c r="L15" s="5" t="s">
        <v>74</v>
      </c>
    </row>
    <row r="16" spans="1:12" hidden="1" x14ac:dyDescent="0.3">
      <c r="A16" s="8" t="s">
        <v>75</v>
      </c>
      <c r="B16" s="9">
        <v>46306.4375</v>
      </c>
      <c r="C16" s="10" t="s">
        <v>58</v>
      </c>
      <c r="D16" s="10" t="s">
        <v>15</v>
      </c>
      <c r="E16" s="10" t="s">
        <v>30</v>
      </c>
      <c r="F16" s="10" t="s">
        <v>31</v>
      </c>
      <c r="G16" s="10" t="s">
        <v>32</v>
      </c>
      <c r="H16" s="11">
        <v>1</v>
      </c>
      <c r="I16" s="12">
        <v>750000</v>
      </c>
      <c r="J16" s="12">
        <f t="shared" si="0"/>
        <v>750000</v>
      </c>
      <c r="K16" s="8" t="s">
        <v>33</v>
      </c>
      <c r="L16" s="10" t="s">
        <v>76</v>
      </c>
    </row>
    <row r="17" spans="1:12" hidden="1" x14ac:dyDescent="0.3">
      <c r="A17" s="3" t="s">
        <v>77</v>
      </c>
      <c r="B17" s="4">
        <v>46307.354166666664</v>
      </c>
      <c r="C17" s="5" t="s">
        <v>42</v>
      </c>
      <c r="D17" s="5" t="s">
        <v>23</v>
      </c>
      <c r="E17" s="5" t="s">
        <v>43</v>
      </c>
      <c r="F17" s="5" t="s">
        <v>44</v>
      </c>
      <c r="G17" s="5" t="s">
        <v>78</v>
      </c>
      <c r="H17" s="6">
        <v>2</v>
      </c>
      <c r="I17" s="7">
        <v>2400000</v>
      </c>
      <c r="J17" s="7">
        <f t="shared" si="0"/>
        <v>4800000</v>
      </c>
      <c r="K17" s="3" t="s">
        <v>46</v>
      </c>
      <c r="L17" s="5" t="s">
        <v>79</v>
      </c>
    </row>
    <row r="18" spans="1:12" x14ac:dyDescent="0.3">
      <c r="A18" s="8" t="s">
        <v>80</v>
      </c>
      <c r="B18" s="9">
        <v>46307.708333333336</v>
      </c>
      <c r="C18" s="10" t="s">
        <v>14</v>
      </c>
      <c r="D18" s="10" t="s">
        <v>15</v>
      </c>
      <c r="E18" s="10" t="s">
        <v>16</v>
      </c>
      <c r="F18" s="10" t="s">
        <v>17</v>
      </c>
      <c r="G18" s="10" t="s">
        <v>55</v>
      </c>
      <c r="H18" s="11">
        <v>1</v>
      </c>
      <c r="I18" s="12">
        <v>450000</v>
      </c>
      <c r="J18" s="12">
        <f t="shared" si="0"/>
        <v>450000</v>
      </c>
      <c r="K18" s="8" t="s">
        <v>19</v>
      </c>
      <c r="L18" s="10" t="s">
        <v>81</v>
      </c>
    </row>
    <row r="19" spans="1:12" hidden="1" x14ac:dyDescent="0.3">
      <c r="A19" s="3" t="s">
        <v>82</v>
      </c>
      <c r="B19" s="4">
        <v>46308.385416666664</v>
      </c>
      <c r="C19" s="5" t="s">
        <v>53</v>
      </c>
      <c r="D19" s="5" t="s">
        <v>37</v>
      </c>
      <c r="E19" s="5" t="s">
        <v>24</v>
      </c>
      <c r="F19" s="5"/>
      <c r="G19" s="5" t="s">
        <v>83</v>
      </c>
      <c r="H19" s="6">
        <v>3</v>
      </c>
      <c r="I19" s="7">
        <v>350000</v>
      </c>
      <c r="J19" s="7">
        <f t="shared" si="0"/>
        <v>1050000</v>
      </c>
      <c r="K19" s="3" t="s">
        <v>19</v>
      </c>
      <c r="L19" s="5" t="s">
        <v>84</v>
      </c>
    </row>
    <row r="20" spans="1:12" hidden="1" x14ac:dyDescent="0.3">
      <c r="A20" s="8" t="s">
        <v>85</v>
      </c>
      <c r="B20" s="9">
        <v>46309.572916666664</v>
      </c>
      <c r="C20" s="10" t="s">
        <v>49</v>
      </c>
      <c r="D20" s="10" t="s">
        <v>15</v>
      </c>
      <c r="E20" s="10" t="s">
        <v>38</v>
      </c>
      <c r="F20" s="10" t="s">
        <v>25</v>
      </c>
      <c r="G20" s="10" t="s">
        <v>50</v>
      </c>
      <c r="H20" s="11">
        <v>1</v>
      </c>
      <c r="I20" s="12">
        <v>1200000</v>
      </c>
      <c r="J20" s="12">
        <f t="shared" si="0"/>
        <v>1200000</v>
      </c>
      <c r="K20" s="8" t="s">
        <v>86</v>
      </c>
      <c r="L20" s="10" t="s">
        <v>87</v>
      </c>
    </row>
    <row r="21" spans="1:12" hidden="1" x14ac:dyDescent="0.3">
      <c r="A21" s="3" t="s">
        <v>88</v>
      </c>
      <c r="B21" s="4">
        <v>46310.416666666664</v>
      </c>
      <c r="C21" s="5" t="s">
        <v>71</v>
      </c>
      <c r="D21" s="5" t="s">
        <v>23</v>
      </c>
      <c r="E21" s="5" t="s">
        <v>43</v>
      </c>
      <c r="F21" s="5" t="s">
        <v>31</v>
      </c>
      <c r="G21" s="5" t="s">
        <v>45</v>
      </c>
      <c r="H21" s="6">
        <v>2</v>
      </c>
      <c r="I21" s="7">
        <v>2500000</v>
      </c>
      <c r="J21" s="7">
        <f t="shared" si="0"/>
        <v>5000000</v>
      </c>
      <c r="K21" s="3" t="s">
        <v>19</v>
      </c>
      <c r="L21" s="5" t="s">
        <v>89</v>
      </c>
    </row>
    <row r="22" spans="1:12" hidden="1" x14ac:dyDescent="0.3">
      <c r="A22" s="8" t="s">
        <v>90</v>
      </c>
      <c r="B22" s="9">
        <v>46310.6875</v>
      </c>
      <c r="C22" s="10" t="s">
        <v>29</v>
      </c>
      <c r="D22" s="10" t="s">
        <v>66</v>
      </c>
      <c r="E22" s="10" t="s">
        <v>16</v>
      </c>
      <c r="F22" s="10" t="s">
        <v>44</v>
      </c>
      <c r="G22" s="10" t="s">
        <v>59</v>
      </c>
      <c r="H22" s="11">
        <v>1</v>
      </c>
      <c r="I22" s="12">
        <v>600000</v>
      </c>
      <c r="J22" s="12">
        <f t="shared" si="0"/>
        <v>600000</v>
      </c>
      <c r="K22" s="8" t="s">
        <v>19</v>
      </c>
      <c r="L22" s="10" t="s">
        <v>91</v>
      </c>
    </row>
    <row r="23" spans="1:12" hidden="1" x14ac:dyDescent="0.3">
      <c r="A23" s="3" t="s">
        <v>92</v>
      </c>
      <c r="B23" s="4">
        <v>46311.364583333336</v>
      </c>
      <c r="C23" s="5" t="s">
        <v>36</v>
      </c>
      <c r="D23" s="5" t="s">
        <v>15</v>
      </c>
      <c r="E23" s="5" t="s">
        <v>30</v>
      </c>
      <c r="F23" s="5" t="s">
        <v>17</v>
      </c>
      <c r="G23" s="5" t="s">
        <v>26</v>
      </c>
      <c r="H23" s="6">
        <v>1</v>
      </c>
      <c r="I23" s="7">
        <v>750000</v>
      </c>
      <c r="J23" s="7">
        <f t="shared" si="0"/>
        <v>750000</v>
      </c>
      <c r="K23" s="3" t="s">
        <v>33</v>
      </c>
      <c r="L23" s="5" t="s">
        <v>93</v>
      </c>
    </row>
    <row r="24" spans="1:12" hidden="1" x14ac:dyDescent="0.3">
      <c r="A24" s="8" t="s">
        <v>94</v>
      </c>
      <c r="B24" s="9">
        <v>46312.46875</v>
      </c>
      <c r="C24" s="10" t="s">
        <v>58</v>
      </c>
      <c r="D24" s="10" t="s">
        <v>54</v>
      </c>
      <c r="E24" s="10" t="s">
        <v>38</v>
      </c>
      <c r="F24" s="10"/>
      <c r="G24" s="10" t="s">
        <v>39</v>
      </c>
      <c r="H24" s="11">
        <v>1</v>
      </c>
      <c r="I24" s="12">
        <v>800000</v>
      </c>
      <c r="J24" s="12">
        <f t="shared" si="0"/>
        <v>800000</v>
      </c>
      <c r="K24" s="8" t="s">
        <v>19</v>
      </c>
      <c r="L24" s="10" t="s">
        <v>95</v>
      </c>
    </row>
    <row r="25" spans="1:12" hidden="1" x14ac:dyDescent="0.3">
      <c r="A25" s="3" t="s">
        <v>96</v>
      </c>
      <c r="B25" s="4">
        <v>46313.583333333336</v>
      </c>
      <c r="C25" s="5" t="s">
        <v>22</v>
      </c>
      <c r="D25" s="5" t="s">
        <v>23</v>
      </c>
      <c r="E25" s="5" t="s">
        <v>24</v>
      </c>
      <c r="F25" s="5" t="s">
        <v>25</v>
      </c>
      <c r="G25" s="5" t="s">
        <v>62</v>
      </c>
      <c r="H25" s="6">
        <v>2</v>
      </c>
      <c r="I25" s="7">
        <v>350000</v>
      </c>
      <c r="J25" s="7">
        <f t="shared" si="0"/>
        <v>700000</v>
      </c>
      <c r="K25" s="3" t="s">
        <v>19</v>
      </c>
      <c r="L25" s="5" t="s">
        <v>97</v>
      </c>
    </row>
    <row r="26" spans="1:12" hidden="1" x14ac:dyDescent="0.3">
      <c r="A26" s="8" t="s">
        <v>98</v>
      </c>
      <c r="B26" s="9">
        <v>46314.395833333336</v>
      </c>
      <c r="C26" s="10" t="s">
        <v>14</v>
      </c>
      <c r="D26" s="10" t="s">
        <v>15</v>
      </c>
      <c r="E26" s="10" t="s">
        <v>16</v>
      </c>
      <c r="F26" s="10" t="s">
        <v>31</v>
      </c>
      <c r="G26" s="10" t="s">
        <v>18</v>
      </c>
      <c r="H26" s="11">
        <v>1</v>
      </c>
      <c r="I26" s="12">
        <v>450000</v>
      </c>
      <c r="J26" s="12">
        <f t="shared" si="0"/>
        <v>450000</v>
      </c>
      <c r="K26" s="8" t="s">
        <v>19</v>
      </c>
      <c r="L26" s="10" t="s">
        <v>99</v>
      </c>
    </row>
    <row r="27" spans="1:12" hidden="1" x14ac:dyDescent="0.3">
      <c r="A27" s="3" t="s">
        <v>100</v>
      </c>
      <c r="B27" s="4">
        <v>46315.447916666664</v>
      </c>
      <c r="C27" s="5" t="s">
        <v>42</v>
      </c>
      <c r="D27" s="5" t="s">
        <v>23</v>
      </c>
      <c r="E27" s="5" t="s">
        <v>43</v>
      </c>
      <c r="F27" s="5" t="s">
        <v>44</v>
      </c>
      <c r="G27" s="5" t="s">
        <v>101</v>
      </c>
      <c r="H27" s="6">
        <v>1</v>
      </c>
      <c r="I27" s="7">
        <v>2300000</v>
      </c>
      <c r="J27" s="7">
        <f t="shared" si="0"/>
        <v>2300000</v>
      </c>
      <c r="K27" s="3" t="s">
        <v>46</v>
      </c>
      <c r="L27" s="5" t="s">
        <v>102</v>
      </c>
    </row>
    <row r="28" spans="1:12" hidden="1" x14ac:dyDescent="0.3">
      <c r="A28" s="8" t="s">
        <v>103</v>
      </c>
      <c r="B28" s="9">
        <v>46316.34375</v>
      </c>
      <c r="C28" s="10" t="s">
        <v>29</v>
      </c>
      <c r="D28" s="10" t="s">
        <v>15</v>
      </c>
      <c r="E28" s="10" t="s">
        <v>30</v>
      </c>
      <c r="F28" s="10" t="s">
        <v>17</v>
      </c>
      <c r="G28" s="10" t="s">
        <v>32</v>
      </c>
      <c r="H28" s="11">
        <v>1</v>
      </c>
      <c r="I28" s="12">
        <v>750000</v>
      </c>
      <c r="J28" s="12">
        <f t="shared" si="0"/>
        <v>750000</v>
      </c>
      <c r="K28" s="8" t="s">
        <v>19</v>
      </c>
      <c r="L28" s="10" t="s">
        <v>104</v>
      </c>
    </row>
    <row r="29" spans="1:12" hidden="1" x14ac:dyDescent="0.3">
      <c r="A29" s="3" t="s">
        <v>105</v>
      </c>
      <c r="B29" s="4">
        <v>46317.541666666664</v>
      </c>
      <c r="C29" s="5" t="s">
        <v>53</v>
      </c>
      <c r="D29" s="5" t="s">
        <v>15</v>
      </c>
      <c r="E29" s="5" t="s">
        <v>38</v>
      </c>
      <c r="F29" s="5"/>
      <c r="G29" s="5" t="s">
        <v>55</v>
      </c>
      <c r="H29" s="6">
        <v>2</v>
      </c>
      <c r="I29" s="7">
        <v>1200000</v>
      </c>
      <c r="J29" s="7">
        <f t="shared" si="0"/>
        <v>2400000</v>
      </c>
      <c r="K29" s="3"/>
      <c r="L29" s="5" t="s">
        <v>106</v>
      </c>
    </row>
    <row r="30" spans="1:12" hidden="1" x14ac:dyDescent="0.3">
      <c r="A30" s="8" t="s">
        <v>107</v>
      </c>
      <c r="B30" s="9">
        <v>46318.645833333336</v>
      </c>
      <c r="C30" s="10" t="s">
        <v>49</v>
      </c>
      <c r="D30" s="10" t="s">
        <v>23</v>
      </c>
      <c r="E30" s="10" t="s">
        <v>24</v>
      </c>
      <c r="F30" s="10" t="s">
        <v>25</v>
      </c>
      <c r="G30" s="10" t="s">
        <v>50</v>
      </c>
      <c r="H30" s="11">
        <v>1</v>
      </c>
      <c r="I30" s="12">
        <v>380000</v>
      </c>
      <c r="J30" s="12">
        <f t="shared" si="0"/>
        <v>380000</v>
      </c>
      <c r="K30" s="8" t="s">
        <v>33</v>
      </c>
      <c r="L30" s="10" t="s">
        <v>108</v>
      </c>
    </row>
    <row r="31" spans="1:12" hidden="1" x14ac:dyDescent="0.3">
      <c r="A31" s="3" t="s">
        <v>109</v>
      </c>
      <c r="B31" s="4">
        <v>46319.458333333336</v>
      </c>
      <c r="C31" s="5" t="s">
        <v>65</v>
      </c>
      <c r="D31" s="5" t="s">
        <v>66</v>
      </c>
      <c r="E31" s="5" t="s">
        <v>16</v>
      </c>
      <c r="F31" s="5" t="s">
        <v>31</v>
      </c>
      <c r="G31" s="5" t="s">
        <v>39</v>
      </c>
      <c r="H31" s="6">
        <v>1</v>
      </c>
      <c r="I31" s="7">
        <v>600000</v>
      </c>
      <c r="J31" s="7">
        <f t="shared" si="0"/>
        <v>600000</v>
      </c>
      <c r="K31" s="3" t="s">
        <v>19</v>
      </c>
      <c r="L31" s="5" t="s">
        <v>110</v>
      </c>
    </row>
    <row r="32" spans="1:12" hidden="1" x14ac:dyDescent="0.3">
      <c r="A32" s="8" t="s">
        <v>111</v>
      </c>
      <c r="B32" s="9">
        <v>46320.375</v>
      </c>
      <c r="C32" s="10" t="s">
        <v>71</v>
      </c>
      <c r="D32" s="10" t="s">
        <v>15</v>
      </c>
      <c r="E32" s="10" t="s">
        <v>30</v>
      </c>
      <c r="F32" s="10" t="s">
        <v>44</v>
      </c>
      <c r="G32" s="10" t="s">
        <v>45</v>
      </c>
      <c r="H32" s="11">
        <v>1</v>
      </c>
      <c r="I32" s="12">
        <v>800000</v>
      </c>
      <c r="J32" s="12">
        <f t="shared" si="0"/>
        <v>800000</v>
      </c>
      <c r="K32" s="8" t="s">
        <v>19</v>
      </c>
      <c r="L32" s="10" t="s">
        <v>112</v>
      </c>
    </row>
    <row r="33" spans="1:12" hidden="1" x14ac:dyDescent="0.3">
      <c r="A33" s="3" t="s">
        <v>113</v>
      </c>
      <c r="B33" s="4">
        <v>46321.354166666664</v>
      </c>
      <c r="C33" s="5" t="s">
        <v>14</v>
      </c>
      <c r="D33" s="5" t="s">
        <v>23</v>
      </c>
      <c r="E33" s="5" t="s">
        <v>43</v>
      </c>
      <c r="F33" s="5" t="s">
        <v>17</v>
      </c>
      <c r="G33" s="5" t="s">
        <v>78</v>
      </c>
      <c r="H33" s="6">
        <v>3</v>
      </c>
      <c r="I33" s="7">
        <v>2500000</v>
      </c>
      <c r="J33" s="7">
        <f t="shared" si="0"/>
        <v>7500000</v>
      </c>
      <c r="K33" s="3" t="s">
        <v>46</v>
      </c>
      <c r="L33" s="5" t="s">
        <v>114</v>
      </c>
    </row>
    <row r="34" spans="1:12" hidden="1" x14ac:dyDescent="0.3">
      <c r="A34" s="8" t="s">
        <v>115</v>
      </c>
      <c r="B34" s="9">
        <v>46321.59375</v>
      </c>
      <c r="C34" s="10" t="s">
        <v>29</v>
      </c>
      <c r="D34" s="10" t="s">
        <v>54</v>
      </c>
      <c r="E34" s="10" t="s">
        <v>16</v>
      </c>
      <c r="F34" s="10" t="s">
        <v>25</v>
      </c>
      <c r="G34" s="10" t="s">
        <v>18</v>
      </c>
      <c r="H34" s="11">
        <v>1</v>
      </c>
      <c r="I34" s="12">
        <v>450000</v>
      </c>
      <c r="J34" s="12">
        <f t="shared" si="0"/>
        <v>450000</v>
      </c>
      <c r="K34" s="8" t="s">
        <v>19</v>
      </c>
      <c r="L34" s="10" t="s">
        <v>116</v>
      </c>
    </row>
    <row r="35" spans="1:12" hidden="1" x14ac:dyDescent="0.3">
      <c r="A35" s="3" t="s">
        <v>117</v>
      </c>
      <c r="B35" s="4">
        <v>46322.430555555555</v>
      </c>
      <c r="C35" s="5" t="s">
        <v>22</v>
      </c>
      <c r="D35" s="5" t="s">
        <v>15</v>
      </c>
      <c r="E35" s="5" t="s">
        <v>24</v>
      </c>
      <c r="F35" s="5"/>
      <c r="G35" s="5" t="s">
        <v>26</v>
      </c>
      <c r="H35" s="6">
        <v>2</v>
      </c>
      <c r="I35" s="7">
        <v>350000</v>
      </c>
      <c r="J35" s="7">
        <f t="shared" si="0"/>
        <v>700000</v>
      </c>
      <c r="K35" s="3" t="s">
        <v>19</v>
      </c>
      <c r="L35" s="5" t="s">
        <v>118</v>
      </c>
    </row>
    <row r="36" spans="1:12" hidden="1" x14ac:dyDescent="0.3">
      <c r="A36" s="8" t="s">
        <v>119</v>
      </c>
      <c r="B36" s="9">
        <v>46323.375</v>
      </c>
      <c r="C36" s="10" t="s">
        <v>58</v>
      </c>
      <c r="D36" s="10" t="s">
        <v>15</v>
      </c>
      <c r="E36" s="10" t="s">
        <v>38</v>
      </c>
      <c r="F36" s="10" t="s">
        <v>31</v>
      </c>
      <c r="G36" s="10" t="s">
        <v>83</v>
      </c>
      <c r="H36" s="11">
        <v>1</v>
      </c>
      <c r="I36" s="12">
        <v>1200000</v>
      </c>
      <c r="J36" s="12">
        <f t="shared" si="0"/>
        <v>1200000</v>
      </c>
      <c r="K36" s="8" t="s">
        <v>33</v>
      </c>
      <c r="L36" s="10" t="s">
        <v>120</v>
      </c>
    </row>
    <row r="37" spans="1:12" hidden="1" x14ac:dyDescent="0.3">
      <c r="A37" s="3" t="s">
        <v>121</v>
      </c>
      <c r="B37" s="4">
        <v>46324.479166666664</v>
      </c>
      <c r="C37" s="5" t="s">
        <v>42</v>
      </c>
      <c r="D37" s="5" t="s">
        <v>23</v>
      </c>
      <c r="E37" s="5" t="s">
        <v>43</v>
      </c>
      <c r="F37" s="5" t="s">
        <v>44</v>
      </c>
      <c r="G37" s="5" t="s">
        <v>45</v>
      </c>
      <c r="H37" s="6">
        <v>2</v>
      </c>
      <c r="I37" s="7">
        <v>2500000</v>
      </c>
      <c r="J37" s="7">
        <f t="shared" si="0"/>
        <v>5000000</v>
      </c>
      <c r="K37" s="3" t="s">
        <v>19</v>
      </c>
      <c r="L37" s="5" t="s">
        <v>122</v>
      </c>
    </row>
    <row r="38" spans="1:12" hidden="1" x14ac:dyDescent="0.3">
      <c r="A38" s="8" t="s">
        <v>123</v>
      </c>
      <c r="B38" s="9">
        <v>46324.697916666664</v>
      </c>
      <c r="C38" s="10" t="s">
        <v>36</v>
      </c>
      <c r="D38" s="10" t="s">
        <v>15</v>
      </c>
      <c r="E38" s="10" t="s">
        <v>30</v>
      </c>
      <c r="F38" s="10" t="s">
        <v>17</v>
      </c>
      <c r="G38" s="10" t="s">
        <v>59</v>
      </c>
      <c r="H38" s="11">
        <v>1</v>
      </c>
      <c r="I38" s="12">
        <v>750000</v>
      </c>
      <c r="J38" s="12">
        <f t="shared" si="0"/>
        <v>750000</v>
      </c>
      <c r="K38" s="8" t="s">
        <v>19</v>
      </c>
      <c r="L38" s="10" t="s">
        <v>124</v>
      </c>
    </row>
    <row r="39" spans="1:12" hidden="1" x14ac:dyDescent="0.3">
      <c r="A39" s="3" t="s">
        <v>125</v>
      </c>
      <c r="B39" s="4">
        <v>46325.34375</v>
      </c>
      <c r="C39" s="5" t="s">
        <v>49</v>
      </c>
      <c r="D39" s="5" t="s">
        <v>37</v>
      </c>
      <c r="E39" s="5" t="s">
        <v>24</v>
      </c>
      <c r="F39" s="5"/>
      <c r="G39" s="5" t="s">
        <v>50</v>
      </c>
      <c r="H39" s="6">
        <v>1</v>
      </c>
      <c r="I39" s="7">
        <v>400000</v>
      </c>
      <c r="J39" s="7">
        <f t="shared" si="0"/>
        <v>400000</v>
      </c>
      <c r="K39" s="3" t="s">
        <v>19</v>
      </c>
      <c r="L39" s="5" t="s">
        <v>126</v>
      </c>
    </row>
    <row r="40" spans="1:12" hidden="1" x14ac:dyDescent="0.3">
      <c r="A40" s="8" t="s">
        <v>127</v>
      </c>
      <c r="B40" s="9">
        <v>46326.416666666664</v>
      </c>
      <c r="C40" s="10" t="s">
        <v>53</v>
      </c>
      <c r="D40" s="10" t="s">
        <v>15</v>
      </c>
      <c r="E40" s="10" t="s">
        <v>16</v>
      </c>
      <c r="F40" s="10" t="s">
        <v>25</v>
      </c>
      <c r="G40" s="10" t="s">
        <v>32</v>
      </c>
      <c r="H40" s="11">
        <v>2</v>
      </c>
      <c r="I40" s="12">
        <v>450000</v>
      </c>
      <c r="J40" s="12">
        <f t="shared" si="0"/>
        <v>900000</v>
      </c>
      <c r="K40" s="8" t="s">
        <v>19</v>
      </c>
      <c r="L40" s="10" t="s">
        <v>128</v>
      </c>
    </row>
    <row r="41" spans="1:12" hidden="1" x14ac:dyDescent="0.3">
      <c r="A41" s="3" t="s">
        <v>129</v>
      </c>
      <c r="B41" s="4">
        <v>46326.770833333336</v>
      </c>
      <c r="C41" s="5" t="s">
        <v>71</v>
      </c>
      <c r="D41" s="5" t="s">
        <v>23</v>
      </c>
      <c r="E41" s="5" t="s">
        <v>43</v>
      </c>
      <c r="F41" s="5" t="s">
        <v>31</v>
      </c>
      <c r="G41" s="5" t="s">
        <v>45</v>
      </c>
      <c r="H41" s="6">
        <v>1</v>
      </c>
      <c r="I41" s="7">
        <v>2600000</v>
      </c>
      <c r="J41" s="7">
        <f t="shared" si="0"/>
        <v>2600000</v>
      </c>
      <c r="K41" s="3" t="s">
        <v>33</v>
      </c>
      <c r="L41" s="5" t="s">
        <v>130</v>
      </c>
    </row>
    <row r="42" spans="1:12" hidden="1" x14ac:dyDescent="0.3">
      <c r="A42" s="8" t="s">
        <v>131</v>
      </c>
      <c r="B42" s="9">
        <v>46327.385416666664</v>
      </c>
      <c r="C42" s="10" t="s">
        <v>29</v>
      </c>
      <c r="D42" s="10" t="s">
        <v>15</v>
      </c>
      <c r="E42" s="10" t="s">
        <v>30</v>
      </c>
      <c r="F42" s="10" t="s">
        <v>44</v>
      </c>
      <c r="G42" s="10" t="s">
        <v>18</v>
      </c>
      <c r="H42" s="11">
        <v>1</v>
      </c>
      <c r="I42" s="12">
        <v>750000</v>
      </c>
      <c r="J42" s="12">
        <f t="shared" si="0"/>
        <v>750000</v>
      </c>
      <c r="K42" s="8" t="s">
        <v>19</v>
      </c>
      <c r="L42" s="10" t="s">
        <v>132</v>
      </c>
    </row>
    <row r="43" spans="1:12" hidden="1" x14ac:dyDescent="0.3">
      <c r="A43" s="3" t="s">
        <v>133</v>
      </c>
      <c r="B43" s="4">
        <v>46328.458333333336</v>
      </c>
      <c r="C43" s="5" t="s">
        <v>14</v>
      </c>
      <c r="D43" s="5" t="s">
        <v>23</v>
      </c>
      <c r="E43" s="5" t="s">
        <v>43</v>
      </c>
      <c r="F43" s="5" t="s">
        <v>17</v>
      </c>
      <c r="G43" s="5" t="s">
        <v>78</v>
      </c>
      <c r="H43" s="6">
        <v>2</v>
      </c>
      <c r="I43" s="7">
        <v>2500000</v>
      </c>
      <c r="J43" s="7">
        <f t="shared" si="0"/>
        <v>5000000</v>
      </c>
      <c r="K43" s="3" t="s">
        <v>19</v>
      </c>
      <c r="L43" s="5" t="s">
        <v>134</v>
      </c>
    </row>
  </sheetData>
  <autoFilter ref="A2:L43" xr:uid="{3755E356-77A4-4F17-B57F-698D22214982}">
    <filterColumn colId="1">
      <customFilters and="1">
        <customFilter operator="greaterThanOrEqual" val="46296"/>
        <customFilter operator="lessThan" val="46311"/>
      </customFilters>
    </filterColumn>
    <filterColumn colId="3">
      <filters>
        <filter val="Sewa Kendaraan"/>
      </filters>
    </filterColumn>
    <filterColumn colId="10">
      <filters>
        <filter val="Lunas"/>
      </filters>
    </filterColumn>
  </autoFilter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242-DAC1-497F-90A8-0C5145329D22}">
  <dimension ref="A1:D6"/>
  <sheetViews>
    <sheetView workbookViewId="0"/>
  </sheetViews>
  <sheetFormatPr defaultRowHeight="14.4" x14ac:dyDescent="0.3"/>
  <cols>
    <col min="1" max="1" width="7.109375" bestFit="1" customWidth="1"/>
    <col min="2" max="2" width="15.44140625" bestFit="1" customWidth="1"/>
    <col min="3" max="3" width="13.88671875" bestFit="1" customWidth="1"/>
    <col min="4" max="4" width="10.109375" bestFit="1" customWidth="1"/>
  </cols>
  <sheetData>
    <row r="1" spans="1:4" x14ac:dyDescent="0.3">
      <c r="A1" s="1" t="s">
        <v>135</v>
      </c>
      <c r="B1" s="1" t="s">
        <v>136</v>
      </c>
      <c r="C1" s="1" t="s">
        <v>137</v>
      </c>
      <c r="D1" s="1" t="s">
        <v>138</v>
      </c>
    </row>
    <row r="2" spans="1:4" x14ac:dyDescent="0.3">
      <c r="A2" t="s">
        <v>139</v>
      </c>
      <c r="B2" t="s">
        <v>16</v>
      </c>
      <c r="C2">
        <v>0.5</v>
      </c>
      <c r="D2" t="s">
        <v>140</v>
      </c>
    </row>
    <row r="3" spans="1:4" x14ac:dyDescent="0.3">
      <c r="A3" t="s">
        <v>141</v>
      </c>
      <c r="B3" t="s">
        <v>30</v>
      </c>
      <c r="C3">
        <v>0.7</v>
      </c>
      <c r="D3" t="s">
        <v>140</v>
      </c>
    </row>
    <row r="4" spans="1:4" x14ac:dyDescent="0.3">
      <c r="A4" t="s">
        <v>142</v>
      </c>
      <c r="B4" t="s">
        <v>24</v>
      </c>
      <c r="C4">
        <v>1.2</v>
      </c>
      <c r="D4" t="s">
        <v>140</v>
      </c>
    </row>
    <row r="5" spans="1:4" x14ac:dyDescent="0.3">
      <c r="A5" t="s">
        <v>143</v>
      </c>
      <c r="B5" t="s">
        <v>38</v>
      </c>
      <c r="C5">
        <v>5</v>
      </c>
      <c r="D5" t="s">
        <v>144</v>
      </c>
    </row>
    <row r="6" spans="1:4" x14ac:dyDescent="0.3">
      <c r="A6" t="s">
        <v>145</v>
      </c>
      <c r="B6" t="s">
        <v>43</v>
      </c>
      <c r="C6">
        <v>25</v>
      </c>
      <c r="D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Transaksi_Bulanan</vt:lpstr>
      <vt:lpstr>Master_Armada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2026-10-29T04:41:05Z</dcterms:created>
  <dcterms:modified xsi:type="dcterms:W3CDTF">2026-10-29T04:42:06Z</dcterms:modified>
</cp:coreProperties>
</file>